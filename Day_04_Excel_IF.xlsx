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<sst xmlns="http://schemas.openxmlformats.org/spreadsheetml/2006/main" count="29" uniqueCount="23">
  <si>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Employee_ID</t>
  </si>
  <si>
    <t>NAME</t>
  </si>
  <si>
    <t>DEPARTMENT</t>
  </si>
  <si>
    <t>AGE</t>
  </si>
  <si>
    <t>SALARY</t>
  </si>
  <si>
    <t>AGE_STATUS</t>
  </si>
  <si>
    <t>Age_25_Plus_Count</t>
  </si>
  <si>
    <t>IT_Employee_Count</t>
  </si>
  <si>
    <t>High_Salary_Count</t>
  </si>
  <si>
    <t>RAVI</t>
  </si>
  <si>
    <t>IT</t>
  </si>
  <si>
    <t>PRIYA</t>
  </si>
  <si>
    <t>HR</t>
  </si>
  <si>
    <t>KIRAN</t>
  </si>
  <si>
    <t>FINANANCE</t>
  </si>
  <si>
    <t>ANJALI</t>
  </si>
  <si>
    <t>SURESH</t>
  </si>
  <si>
    <t>SALES</t>
  </si>
  <si>
    <t>MEENA</t>
  </si>
  <si>
    <t>ARJUN</t>
  </si>
  <si>
    <t>DIVYA</t>
  </si>
  <si>
    <t>RAHUL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</si>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</sst>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topLeftCell="B1" workbookViewId="0">
      <selection activeCell="G2" sqref="G2"/>
    </sheetView>
  </sheetViews>
  <sheetFormatPr defaultColWidth="9.14285714285714" defaultRowHeight="15.75"/>
  <cols>
    <col min="1" max="2" width="18.5714285714286" style="1" customWidth="1"/>
    <col min="3" max="3" width="18" style="1" customWidth="1"/>
    <col min="4" max="4" width="17.7142857142857" style="1" customWidth="1"/>
    <col min="5" max="5" width="18.1428571428571" style="1" customWidth="1"/>
    <col min="6" max="6" width="18.7142857142857" style="1" customWidth="1"/>
    <col min="7" max="7" width="27.7142857142857" style="1" customWidth="1"/>
    <col min="8" max="8" width="27.1428571428571" style="1" customWidth="1"/>
    <col min="9" max="9" width="23.1428571428571" style="1" customWidth="1"/>
    <col min="10" max="16384" width="9.14285714285714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101</v>
      </c>
      <c r="B2" s="1" t="s">
        <v>9</v>
      </c>
      <c r="C2" s="1" t="s">
        <v>10</v>
      </c>
      <c r="D2" s="1">
        <v>24</v>
      </c>
      <c r="E2" s="1">
        <v>42000</v>
      </c>
      <c r="F2" s="1" t="str">
        <f>IF(D2&gt;=25,"ADULT","YOUNG")</f>
        <v>YOUNG</v>
      </c>
      <c r="G2" s="1">
        <f>COUNTIF(D2:D11,"&gt;=25")</f>
        <v>7</v>
      </c>
      <c r="H2" s="1">
        <f>COUNTIF(C2:C11,"IT")</f>
        <v>3</v>
      </c>
      <c r="I2" s="1">
        <f>COUNTIF(E2:E11,"&gt;50000")</f>
        <v>5</v>
      </c>
    </row>
    <row r="3" spans="1:9">
      <c r="A3" s="1">
        <v>102</v>
      </c>
      <c r="B3" s="1" t="s">
        <v>11</v>
      </c>
      <c r="C3" s="1" t="s">
        <v>12</v>
      </c>
      <c r="D3" s="1">
        <v>26</v>
      </c>
      <c r="E3" s="1">
        <v>48000</v>
      </c>
      <c r="F3" s="1" t="str">
        <f>IF(D3&gt;=25,"ADULT","YOUNG")</f>
        <v>ADULT</v>
      </c>
    </row>
    <row r="4" spans="1:9">
      <c r="A4" s="1">
        <v>103</v>
      </c>
      <c r="B4" s="1" t="s">
        <v>13</v>
      </c>
      <c r="C4" s="1" t="s">
        <v>14</v>
      </c>
      <c r="D4" s="1">
        <v>29</v>
      </c>
      <c r="E4" s="1">
        <v>55000</v>
      </c>
      <c r="F4" s="1" t="str">
        <f>IF(D3&gt;=25,"ADULT","YOUNG")</f>
        <v>ADULT</v>
      </c>
    </row>
    <row r="5" spans="1:9">
      <c r="A5" s="1">
        <v>104</v>
      </c>
      <c r="B5" s="1" t="s">
        <v>15</v>
      </c>
      <c r="C5" s="1" t="s">
        <v>10</v>
      </c>
      <c r="D5" s="1">
        <v>32</v>
      </c>
      <c r="E5" s="1">
        <v>62000</v>
      </c>
      <c r="F5" s="1" t="str">
        <f>IF(D4&gt;=25,"ADULT","YOUNG")</f>
        <v>ADULT</v>
      </c>
    </row>
    <row r="6" spans="1:9">
      <c r="A6" s="1">
        <v>105</v>
      </c>
      <c r="B6" s="1" t="s">
        <v>16</v>
      </c>
      <c r="C6" s="1" t="s">
        <v>17</v>
      </c>
      <c r="D6" s="1">
        <v>27</v>
      </c>
      <c r="E6" s="1">
        <v>50000</v>
      </c>
      <c r="F6" s="1" t="str">
        <f t="shared" ref="F6:F11" si="0">IF(D6&gt;=25,"ADULT","YOUNG")</f>
        <v>ADULT</v>
      </c>
    </row>
    <row r="7" spans="1:9">
      <c r="A7" s="1">
        <v>106</v>
      </c>
      <c r="B7" s="1" t="s">
        <v>18</v>
      </c>
      <c r="C7" s="1" t="s">
        <v>12</v>
      </c>
      <c r="D7" s="1">
        <v>23</v>
      </c>
      <c r="E7" s="1">
        <v>45000</v>
      </c>
      <c r="F7" s="1" t="str">
        <f t="shared" si="0"/>
        <v>YOUNG</v>
      </c>
    </row>
    <row r="8" spans="1:9">
      <c r="A8" s="1">
        <v>107</v>
      </c>
      <c r="B8" s="1" t="s">
        <v>19</v>
      </c>
      <c r="C8" s="1" t="s">
        <v>14</v>
      </c>
      <c r="D8" s="1">
        <v>35</v>
      </c>
      <c r="E8" s="1">
        <v>70000</v>
      </c>
      <c r="F8" s="1" t="str">
        <f t="shared" si="0"/>
        <v>ADULT</v>
      </c>
    </row>
    <row r="9" spans="1:9">
      <c r="A9" s="1">
        <v>108</v>
      </c>
      <c r="B9" s="1" t="s">
        <v>20</v>
      </c>
      <c r="C9" s="1" t="s">
        <v>10</v>
      </c>
      <c r="D9" s="1">
        <v>28</v>
      </c>
      <c r="E9" s="1">
        <v>58000</v>
      </c>
      <c r="F9" s="1" t="str">
        <f t="shared" si="0"/>
        <v>ADULT</v>
      </c>
    </row>
    <row r="10" spans="1:9">
      <c r="A10" s="1">
        <v>109</v>
      </c>
      <c r="B10" s="1" t="s">
        <v>21</v>
      </c>
      <c r="C10" s="1" t="s">
        <v>17</v>
      </c>
      <c r="D10" s="1">
        <v>22</v>
      </c>
      <c r="E10" s="1">
        <v>44000</v>
      </c>
      <c r="F10" s="1" t="str">
        <f t="shared" si="0"/>
        <v>YOUNG</v>
      </c>
    </row>
    <row r="11" spans="1:9">
      <c r="A11" s="1">
        <v>110</v>
      </c>
      <c r="B11" s="1" t="s">
        <v>22</v>
      </c>
      <c r="C11" s="1" t="s">
        <v>14</v>
      </c>
      <c r="D11" s="1">
        <v>31</v>
      </c>
      <c r="E11" s="1">
        <v>65000</v>
      </c>
      <c r="F11" s="1" t="str">
        <f t="shared" si="0"/>
        <v>ADULT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2026-09-04T12:00:00Z</dcterms:created>
  <dcterms:modified xsi:type="dcterms:W3CDTF">2026-09-06T10:56:53Z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2043344C2D164A56912FDCC73B7E0D04_13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